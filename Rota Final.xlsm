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\OneDrive\Documents\"/>
    </mc:Choice>
  </mc:AlternateContent>
  <xr:revisionPtr revIDLastSave="0" documentId="13_ncr:1_{8853FE7A-EEF2-4A86-BF59-1FCA9CAD7ADD}" xr6:coauthVersionLast="47" xr6:coauthVersionMax="47" xr10:uidLastSave="{00000000-0000-0000-0000-000000000000}"/>
  <bookViews>
    <workbookView xWindow="-120" yWindow="-120" windowWidth="29040" windowHeight="15840" activeTab="1" xr2:uid="{4B48A1F6-0F8D-4B25-95C7-B9C8141718ED}"/>
  </bookViews>
  <sheets>
    <sheet name="Avaliability" sheetId="1" r:id="rId1"/>
    <sheet name="Ro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5" i="2" l="1"/>
  <c r="D86" i="2"/>
  <c r="D85" i="2"/>
  <c r="D84" i="2"/>
  <c r="D83" i="2"/>
  <c r="D82" i="2"/>
  <c r="D81" i="2"/>
  <c r="D80" i="2"/>
  <c r="D79" i="2"/>
  <c r="D78" i="2"/>
  <c r="D77" i="2"/>
  <c r="D76" i="2"/>
  <c r="D75" i="2"/>
  <c r="C86" i="2"/>
  <c r="C85" i="2"/>
  <c r="C84" i="2"/>
  <c r="C83" i="2"/>
  <c r="C82" i="2"/>
  <c r="C81" i="2"/>
  <c r="C80" i="2"/>
  <c r="C79" i="2"/>
  <c r="C78" i="2"/>
  <c r="C77" i="2"/>
  <c r="C76" i="2"/>
  <c r="D74" i="2"/>
  <c r="D73" i="2"/>
  <c r="D72" i="2"/>
  <c r="D71" i="2"/>
  <c r="D70" i="2"/>
  <c r="D69" i="2"/>
  <c r="D68" i="2"/>
  <c r="D67" i="2"/>
  <c r="D66" i="2"/>
  <c r="D65" i="2"/>
  <c r="D64" i="2"/>
  <c r="D63" i="2"/>
  <c r="C74" i="2"/>
  <c r="C73" i="2"/>
  <c r="C72" i="2"/>
  <c r="C71" i="2"/>
  <c r="C70" i="2"/>
  <c r="C69" i="2"/>
  <c r="C68" i="2"/>
  <c r="C67" i="2"/>
  <c r="C66" i="2"/>
  <c r="C65" i="2"/>
  <c r="C64" i="2"/>
  <c r="C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D38" i="2"/>
  <c r="D37" i="2"/>
  <c r="D36" i="2"/>
  <c r="D35" i="2"/>
  <c r="D34" i="2"/>
  <c r="D33" i="2"/>
  <c r="D32" i="2"/>
  <c r="D31" i="2"/>
  <c r="D30" i="2"/>
  <c r="D29" i="2"/>
  <c r="D28" i="2"/>
  <c r="D27" i="2"/>
  <c r="D39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D26" i="2"/>
  <c r="D25" i="2"/>
  <c r="D24" i="2"/>
  <c r="D23" i="2"/>
  <c r="D22" i="2"/>
  <c r="D21" i="2"/>
  <c r="D20" i="2"/>
  <c r="D19" i="2"/>
  <c r="D18" i="2"/>
  <c r="D17" i="2"/>
  <c r="D16" i="2"/>
  <c r="D15" i="2"/>
  <c r="C26" i="2"/>
  <c r="C25" i="2"/>
  <c r="C24" i="2"/>
  <c r="C23" i="2"/>
  <c r="C22" i="2"/>
  <c r="C21" i="2"/>
  <c r="C20" i="2"/>
  <c r="C19" i="2"/>
  <c r="C18" i="2"/>
  <c r="C17" i="2"/>
  <c r="C16" i="2"/>
  <c r="C15" i="2"/>
  <c r="D5" i="2"/>
  <c r="D4" i="2"/>
  <c r="D3" i="2"/>
  <c r="C5" i="2"/>
  <c r="C3" i="2"/>
  <c r="C4" i="2"/>
  <c r="D6" i="2"/>
  <c r="D14" i="2"/>
  <c r="D13" i="2"/>
  <c r="D12" i="2"/>
  <c r="D11" i="2"/>
  <c r="D10" i="2"/>
  <c r="D9" i="2"/>
  <c r="D8" i="2"/>
  <c r="D7" i="2"/>
  <c r="C9" i="2"/>
  <c r="C14" i="2"/>
  <c r="C13" i="2"/>
  <c r="C12" i="2"/>
  <c r="C11" i="2"/>
  <c r="C10" i="2"/>
  <c r="C8" i="2"/>
  <c r="C7" i="2"/>
  <c r="C6" i="2"/>
</calcChain>
</file>

<file path=xl/sharedStrings.xml><?xml version="1.0" encoding="utf-8"?>
<sst xmlns="http://schemas.openxmlformats.org/spreadsheetml/2006/main" count="112" uniqueCount="41">
  <si>
    <t>Avaliability</t>
  </si>
  <si>
    <t>Start</t>
  </si>
  <si>
    <t>End</t>
  </si>
  <si>
    <t>Mike</t>
  </si>
  <si>
    <t>Katie</t>
  </si>
  <si>
    <t>Lauren</t>
  </si>
  <si>
    <t>Lily</t>
  </si>
  <si>
    <t>Julian</t>
  </si>
  <si>
    <t>Frankie</t>
  </si>
  <si>
    <t>Ben M</t>
  </si>
  <si>
    <t>P Ben</t>
  </si>
  <si>
    <t>Anna</t>
  </si>
  <si>
    <t>Nat</t>
  </si>
  <si>
    <t>Rossa</t>
  </si>
  <si>
    <t>Dom</t>
  </si>
  <si>
    <t>Staff</t>
  </si>
  <si>
    <t>Matt</t>
  </si>
  <si>
    <t>Amelia</t>
  </si>
  <si>
    <t>Goldman</t>
  </si>
  <si>
    <t>Ben J</t>
  </si>
  <si>
    <t>Ella</t>
  </si>
  <si>
    <t>Elle</t>
  </si>
  <si>
    <t>Ivy</t>
  </si>
  <si>
    <t>Joey</t>
  </si>
  <si>
    <t>Crabtree</t>
  </si>
  <si>
    <t>Lydia</t>
  </si>
  <si>
    <t>Max</t>
  </si>
  <si>
    <t>Rohan</t>
  </si>
  <si>
    <t>Will</t>
  </si>
  <si>
    <t>Bonnie</t>
  </si>
  <si>
    <t>Monday</t>
  </si>
  <si>
    <t>Tuesday</t>
  </si>
  <si>
    <t>Wednesday</t>
  </si>
  <si>
    <t>Thursday</t>
  </si>
  <si>
    <t>Friday</t>
  </si>
  <si>
    <t>Saturday</t>
  </si>
  <si>
    <t>Sunday</t>
  </si>
  <si>
    <t>Day</t>
  </si>
  <si>
    <t>Shift</t>
  </si>
  <si>
    <t>Finish</t>
  </si>
  <si>
    <t>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</si>
</sst>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8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0" xfId="0" applyFill="1"/>
    <xf numFmtId="0" fontId="0" fillId="2" borderId="10" xfId="0" applyFill="1" applyBorder="1"/>
    <xf numFmtId="0" fontId="0" fillId="3" borderId="7" xfId="0" applyFill="1" applyBorder="1"/>
    <xf numFmtId="0" fontId="0" fillId="3" borderId="0" xfId="0" applyFill="1"/>
    <xf numFmtId="0" fontId="0" fillId="2" borderId="11" xfId="0" applyFill="1" applyBorder="1"/>
    <xf numFmtId="0" fontId="0" fillId="2" borderId="3" xfId="0" applyFill="1" applyBorder="1"/>
    <xf numFmtId="0" fontId="0" fillId="5" borderId="6" xfId="0" applyFill="1" applyBorder="1"/>
    <xf numFmtId="0" fontId="0" fillId="3" borderId="10" xfId="0" applyFill="1" applyBorder="1"/>
    <xf numFmtId="0" fontId="0" fillId="2" borderId="2" xfId="0" applyFill="1" applyBorder="1"/>
    <xf numFmtId="0" fontId="0" fillId="0" borderId="6" xfId="0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3" xfId="0" applyBorder="1"/>
    <xf numFmtId="0" fontId="0" fillId="4" borderId="7" xfId="0" applyFill="1" applyBorder="1"/>
    <xf numFmtId="0" fontId="0" fillId="3" borderId="11" xfId="0" applyFill="1" applyBorder="1"/>
    <xf numFmtId="0" fontId="0" fillId="3" borderId="2" xfId="0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Fill="1"/>
    <xf numFmtId="0" fontId="0" fillId="0" borderId="3" xfId="0" applyFill="1" applyBorder="1"/>
    <xf numFmtId="0" fontId="0" fillId="0" borderId="2" xfId="0" applyFill="1" applyBorder="1"/>
    <xf numFmtId="0" fontId="0" fillId="0" borderId="11" xfId="0" applyFill="1" applyBorder="1"/>
    <xf numFmtId="0" fontId="0" fillId="0" borderId="7" xfId="0" applyFill="1" applyBorder="1"/>
    <xf numFmtId="0" fontId="0" fillId="0" borderId="10" xfId="0" applyFill="1" applyBorder="1"/>
    <xf numFmtId="0" fontId="0" fillId="0" borderId="9" xfId="0" applyFill="1" applyBorder="1"/>
    <xf numFmtId="0" fontId="0" fillId="0" borderId="8" xfId="0" applyFill="1" applyBorder="1"/>
    <xf numFmtId="0" fontId="0" fillId="0" borderId="4" xfId="0" applyFill="1" applyBorder="1"/>
    <xf numFmtId="0" fontId="0" fillId="0" borderId="12" xfId="0" applyFill="1" applyBorder="1"/>
    <xf numFmtId="0" fontId="0" fillId="0" borderId="5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04D21-6142-4D9E-BA7E-53E6957CFEE9}">
  <sheetPr codeName="Sheet1"/>
  <dimension ref="A1:O29"/>
  <sheetViews>
    <sheetView workbookViewId="0">
      <selection activeCell="C11" sqref="C11"/>
    </sheetView>
  </sheetViews>
  <sheetFormatPr defaultRowHeight="15" x14ac:dyDescent="0.25"/>
  <sheetData>
    <row r="1" spans="1:15" ht="15.75" thickBot="1" x14ac:dyDescent="0.3"/>
    <row r="2" spans="1:15" ht="15.75" thickBot="1" x14ac:dyDescent="0.3">
      <c r="B2" s="27" t="s">
        <v>30</v>
      </c>
      <c r="C2" s="28"/>
      <c r="D2" s="27" t="s">
        <v>31</v>
      </c>
      <c r="E2" s="28"/>
      <c r="F2" s="27" t="s">
        <v>32</v>
      </c>
      <c r="G2" s="28"/>
      <c r="H2" s="27" t="s">
        <v>33</v>
      </c>
      <c r="I2" s="28"/>
      <c r="J2" s="27" t="s">
        <v>34</v>
      </c>
      <c r="K2" s="28"/>
      <c r="L2" s="27" t="s">
        <v>35</v>
      </c>
      <c r="M2" s="28"/>
      <c r="N2" s="27" t="s">
        <v>36</v>
      </c>
      <c r="O2" s="28"/>
    </row>
    <row r="3" spans="1:15" ht="15.75" thickBot="1" x14ac:dyDescent="0.3">
      <c r="A3" s="5" t="s">
        <v>15</v>
      </c>
      <c r="B3" s="1" t="s">
        <v>1</v>
      </c>
      <c r="C3" s="2" t="s">
        <v>2</v>
      </c>
      <c r="D3" s="1" t="s">
        <v>1</v>
      </c>
      <c r="E3" s="2" t="s">
        <v>2</v>
      </c>
      <c r="F3" s="1" t="s">
        <v>1</v>
      </c>
      <c r="G3" s="2" t="s">
        <v>2</v>
      </c>
      <c r="H3" s="1" t="s">
        <v>1</v>
      </c>
      <c r="I3" s="2" t="s">
        <v>2</v>
      </c>
      <c r="J3" s="1" t="s">
        <v>1</v>
      </c>
      <c r="K3" s="2" t="s">
        <v>2</v>
      </c>
      <c r="L3" s="1" t="s">
        <v>1</v>
      </c>
      <c r="M3" s="2" t="s">
        <v>2</v>
      </c>
      <c r="N3" s="1" t="s">
        <v>1</v>
      </c>
      <c r="O3" s="2" t="s">
        <v>2</v>
      </c>
    </row>
    <row r="4" spans="1:15" x14ac:dyDescent="0.25">
      <c r="A4" s="6" t="s">
        <v>3</v>
      </c>
      <c r="B4" s="3">
        <v>9</v>
      </c>
      <c r="C4" s="4">
        <v>5</v>
      </c>
      <c r="D4" s="3"/>
      <c r="E4" s="4"/>
      <c r="F4" s="3"/>
      <c r="G4" s="4"/>
      <c r="H4" s="3"/>
      <c r="I4" s="4"/>
      <c r="J4" s="3"/>
      <c r="K4" s="4"/>
      <c r="L4" s="3"/>
      <c r="M4" s="4"/>
      <c r="N4" s="3"/>
      <c r="O4" s="4"/>
    </row>
    <row r="5" spans="1:15" x14ac:dyDescent="0.25">
      <c r="A5" s="7" t="s">
        <v>4</v>
      </c>
      <c r="B5" s="9">
        <v>9</v>
      </c>
      <c r="C5" s="10">
        <v>5</v>
      </c>
      <c r="D5" s="9"/>
      <c r="E5" s="10"/>
      <c r="F5" s="9"/>
      <c r="G5" s="10"/>
      <c r="H5" s="9"/>
      <c r="I5" s="10"/>
      <c r="J5" s="9"/>
      <c r="K5" s="10"/>
      <c r="L5" s="9"/>
      <c r="M5" s="10"/>
      <c r="N5" s="9"/>
      <c r="O5" s="10"/>
    </row>
    <row r="6" spans="1:15" x14ac:dyDescent="0.25">
      <c r="A6" s="7" t="s">
        <v>5</v>
      </c>
      <c r="B6" s="9"/>
      <c r="C6" s="10"/>
      <c r="D6" s="9"/>
      <c r="E6" s="10"/>
      <c r="F6" s="9"/>
      <c r="G6" s="10"/>
      <c r="H6" s="9"/>
      <c r="I6" s="10"/>
      <c r="J6" s="9"/>
      <c r="K6" s="10"/>
      <c r="L6" s="9"/>
      <c r="M6" s="10"/>
      <c r="N6" s="9"/>
      <c r="O6" s="10"/>
    </row>
    <row r="7" spans="1:15" x14ac:dyDescent="0.25">
      <c r="A7" s="7" t="s">
        <v>6</v>
      </c>
      <c r="B7" s="9"/>
      <c r="C7" s="10"/>
      <c r="D7" s="9"/>
      <c r="E7" s="10"/>
      <c r="F7" s="9"/>
      <c r="G7" s="10"/>
      <c r="H7" s="9"/>
      <c r="I7" s="10"/>
      <c r="J7" s="9"/>
      <c r="K7" s="10"/>
      <c r="L7" s="9"/>
      <c r="M7" s="10"/>
      <c r="N7" s="9"/>
      <c r="O7" s="10"/>
    </row>
    <row r="8" spans="1:15" x14ac:dyDescent="0.25">
      <c r="A8" s="7" t="s">
        <v>7</v>
      </c>
      <c r="B8" s="9"/>
      <c r="C8" s="10"/>
      <c r="D8" s="9"/>
      <c r="E8" s="10"/>
      <c r="F8" s="9"/>
      <c r="G8" s="10"/>
      <c r="H8" s="9"/>
      <c r="I8" s="10"/>
      <c r="J8" s="9"/>
      <c r="K8" s="10"/>
      <c r="L8" s="9"/>
      <c r="M8" s="10"/>
      <c r="N8" s="9"/>
      <c r="O8" s="10"/>
    </row>
    <row r="9" spans="1:15" x14ac:dyDescent="0.25">
      <c r="A9" s="7" t="s">
        <v>8</v>
      </c>
      <c r="B9" s="9"/>
      <c r="C9" s="10"/>
      <c r="D9" s="9"/>
      <c r="E9" s="10"/>
      <c r="F9" s="9"/>
      <c r="G9" s="10"/>
      <c r="H9" s="9"/>
      <c r="I9" s="10"/>
      <c r="J9" s="9"/>
      <c r="K9" s="10"/>
      <c r="L9" s="9"/>
      <c r="M9" s="10"/>
      <c r="N9" s="9"/>
      <c r="O9" s="10"/>
    </row>
    <row r="10" spans="1:15" x14ac:dyDescent="0.25">
      <c r="A10" s="7" t="s">
        <v>9</v>
      </c>
      <c r="B10" s="9"/>
      <c r="C10" s="10"/>
      <c r="D10" s="9"/>
      <c r="E10" s="10"/>
      <c r="F10" s="9"/>
      <c r="G10" s="10"/>
      <c r="H10" s="9"/>
      <c r="I10" s="10"/>
      <c r="J10" s="9"/>
      <c r="K10" s="10"/>
      <c r="L10" s="9"/>
      <c r="M10" s="10"/>
      <c r="N10" s="9"/>
      <c r="O10" s="10"/>
    </row>
    <row r="11" spans="1:15" x14ac:dyDescent="0.25">
      <c r="A11" s="7" t="s">
        <v>10</v>
      </c>
      <c r="B11" s="9">
        <v>5</v>
      </c>
      <c r="C11" s="10">
        <v>8</v>
      </c>
      <c r="D11" s="9">
        <v>1</v>
      </c>
      <c r="E11" s="10">
        <v>9</v>
      </c>
      <c r="F11" s="9">
        <v>10</v>
      </c>
      <c r="G11" s="10">
        <v>3</v>
      </c>
      <c r="H11" s="9">
        <v>4</v>
      </c>
      <c r="I11" s="10">
        <v>8</v>
      </c>
      <c r="J11" s="9">
        <v>12</v>
      </c>
      <c r="K11" s="10">
        <v>9</v>
      </c>
      <c r="L11" s="9">
        <v>4</v>
      </c>
      <c r="M11" s="10">
        <v>7</v>
      </c>
      <c r="N11" s="9">
        <v>9</v>
      </c>
      <c r="O11" s="10">
        <v>3</v>
      </c>
    </row>
    <row r="12" spans="1:15" x14ac:dyDescent="0.25">
      <c r="A12" s="7" t="s">
        <v>11</v>
      </c>
      <c r="B12" s="9"/>
      <c r="C12" s="10"/>
      <c r="D12" s="9"/>
      <c r="E12" s="10"/>
      <c r="F12" s="9"/>
      <c r="G12" s="10"/>
      <c r="H12" s="9">
        <v>2</v>
      </c>
      <c r="I12" s="10">
        <v>9</v>
      </c>
      <c r="J12" s="9"/>
      <c r="K12" s="10"/>
      <c r="L12" s="9"/>
      <c r="M12" s="10"/>
      <c r="N12" s="9"/>
      <c r="O12" s="10"/>
    </row>
    <row r="13" spans="1:15" x14ac:dyDescent="0.25">
      <c r="A13" s="7" t="s">
        <v>12</v>
      </c>
      <c r="B13" s="9"/>
      <c r="C13" s="10"/>
      <c r="D13" s="9"/>
      <c r="E13" s="10"/>
      <c r="F13" s="9"/>
      <c r="G13" s="10"/>
      <c r="H13" s="9"/>
      <c r="I13" s="10"/>
      <c r="J13" s="9"/>
      <c r="K13" s="10"/>
      <c r="L13" s="9"/>
      <c r="M13" s="10"/>
      <c r="N13" s="9"/>
      <c r="O13" s="10"/>
    </row>
    <row r="14" spans="1:15" x14ac:dyDescent="0.25">
      <c r="A14" s="7" t="s">
        <v>13</v>
      </c>
      <c r="B14" s="9"/>
      <c r="C14" s="10"/>
      <c r="D14" s="9"/>
      <c r="E14" s="10"/>
      <c r="F14" s="9"/>
      <c r="G14" s="10"/>
      <c r="H14" s="9"/>
      <c r="I14" s="10"/>
      <c r="J14" s="9"/>
      <c r="K14" s="10"/>
      <c r="L14" s="9"/>
      <c r="M14" s="10"/>
      <c r="N14" s="9"/>
      <c r="O14" s="10"/>
    </row>
    <row r="15" spans="1:15" x14ac:dyDescent="0.25">
      <c r="A15" s="7" t="s">
        <v>14</v>
      </c>
      <c r="B15" s="9"/>
      <c r="C15" s="10"/>
      <c r="D15" s="9"/>
      <c r="E15" s="10"/>
      <c r="F15" s="9"/>
      <c r="G15" s="10"/>
      <c r="H15" s="9"/>
      <c r="I15" s="10"/>
      <c r="J15" s="9"/>
      <c r="K15" s="10"/>
      <c r="L15" s="9"/>
      <c r="M15" s="10"/>
      <c r="N15" s="9"/>
      <c r="O15" s="10"/>
    </row>
    <row r="16" spans="1:15" x14ac:dyDescent="0.25">
      <c r="A16" s="7" t="s">
        <v>16</v>
      </c>
      <c r="B16" s="9"/>
      <c r="C16" s="10"/>
      <c r="D16" s="9">
        <v>9</v>
      </c>
      <c r="E16" s="10">
        <v>5</v>
      </c>
      <c r="F16" s="9"/>
      <c r="G16" s="10"/>
      <c r="H16" s="9"/>
      <c r="I16" s="10"/>
      <c r="J16" s="9"/>
      <c r="K16" s="10"/>
      <c r="L16" s="9"/>
      <c r="M16" s="10"/>
      <c r="N16" s="9"/>
      <c r="O16" s="10"/>
    </row>
    <row r="17" spans="1:15" x14ac:dyDescent="0.25">
      <c r="A17" s="7" t="s">
        <v>17</v>
      </c>
      <c r="B17" s="9"/>
      <c r="C17" s="10"/>
      <c r="D17" s="9"/>
      <c r="E17" s="10"/>
      <c r="F17" s="9"/>
      <c r="G17" s="10"/>
      <c r="H17" s="9"/>
      <c r="I17" s="10"/>
      <c r="J17" s="9"/>
      <c r="K17" s="10"/>
      <c r="L17" s="9"/>
      <c r="M17" s="10"/>
      <c r="N17" s="9"/>
      <c r="O17" s="10"/>
    </row>
    <row r="18" spans="1:15" x14ac:dyDescent="0.25">
      <c r="A18" s="7" t="s">
        <v>18</v>
      </c>
      <c r="B18" s="9"/>
      <c r="C18" s="10"/>
      <c r="D18" s="9"/>
      <c r="E18" s="10"/>
      <c r="F18" s="9"/>
      <c r="G18" s="10"/>
      <c r="H18" s="9"/>
      <c r="I18" s="10"/>
      <c r="J18" s="9"/>
      <c r="K18" s="10"/>
      <c r="L18" s="9"/>
      <c r="M18" s="10"/>
      <c r="N18" s="9"/>
      <c r="O18" s="10"/>
    </row>
    <row r="19" spans="1:15" x14ac:dyDescent="0.25">
      <c r="A19" s="7" t="s">
        <v>19</v>
      </c>
      <c r="B19" s="9"/>
      <c r="C19" s="10"/>
      <c r="D19" s="9"/>
      <c r="E19" s="10"/>
      <c r="F19" s="9"/>
      <c r="G19" s="10"/>
      <c r="H19" s="9"/>
      <c r="I19" s="10"/>
      <c r="J19" s="9"/>
      <c r="K19" s="10"/>
      <c r="L19" s="9"/>
      <c r="M19" s="10"/>
      <c r="N19" s="9"/>
      <c r="O19" s="10"/>
    </row>
    <row r="20" spans="1:15" x14ac:dyDescent="0.25">
      <c r="A20" s="7" t="s">
        <v>20</v>
      </c>
      <c r="B20" s="9"/>
      <c r="C20" s="10"/>
      <c r="D20" s="9"/>
      <c r="E20" s="10"/>
      <c r="F20" s="9"/>
      <c r="G20" s="10"/>
      <c r="H20" s="9"/>
      <c r="I20" s="10"/>
      <c r="J20" s="9"/>
      <c r="K20" s="10"/>
      <c r="L20" s="9"/>
      <c r="M20" s="10"/>
      <c r="N20" s="9"/>
      <c r="O20" s="10"/>
    </row>
    <row r="21" spans="1:15" x14ac:dyDescent="0.25">
      <c r="A21" s="7" t="s">
        <v>21</v>
      </c>
      <c r="B21" s="9"/>
      <c r="C21" s="10"/>
      <c r="D21" s="9"/>
      <c r="E21" s="10"/>
      <c r="F21" s="9"/>
      <c r="G21" s="10"/>
      <c r="H21" s="9"/>
      <c r="I21" s="10"/>
      <c r="J21" s="9"/>
      <c r="K21" s="10"/>
      <c r="L21" s="9"/>
      <c r="M21" s="10"/>
      <c r="N21" s="9"/>
      <c r="O21" s="10"/>
    </row>
    <row r="22" spans="1:15" x14ac:dyDescent="0.25">
      <c r="A22" s="7" t="s">
        <v>22</v>
      </c>
      <c r="B22" s="9"/>
      <c r="C22" s="10"/>
      <c r="D22" s="9"/>
      <c r="E22" s="10"/>
      <c r="F22" s="9"/>
      <c r="G22" s="10"/>
      <c r="H22" s="9"/>
      <c r="I22" s="10"/>
      <c r="J22" s="9"/>
      <c r="K22" s="10"/>
      <c r="L22" s="9"/>
      <c r="M22" s="10"/>
      <c r="N22" s="9"/>
      <c r="O22" s="10"/>
    </row>
    <row r="23" spans="1:15" x14ac:dyDescent="0.25">
      <c r="A23" s="7" t="s">
        <v>23</v>
      </c>
      <c r="B23" s="9"/>
      <c r="C23" s="10"/>
      <c r="D23" s="9"/>
      <c r="E23" s="10"/>
      <c r="F23" s="9"/>
      <c r="G23" s="10"/>
      <c r="H23" s="9"/>
      <c r="I23" s="10"/>
      <c r="J23" s="9"/>
      <c r="K23" s="10"/>
      <c r="L23" s="9"/>
      <c r="M23" s="10"/>
      <c r="N23" s="9"/>
      <c r="O23" s="10"/>
    </row>
    <row r="24" spans="1:15" x14ac:dyDescent="0.25">
      <c r="A24" s="7" t="s">
        <v>24</v>
      </c>
      <c r="B24" s="9"/>
      <c r="C24" s="10"/>
      <c r="D24" s="9"/>
      <c r="E24" s="10"/>
      <c r="F24" s="9"/>
      <c r="G24" s="10"/>
      <c r="H24" s="9"/>
      <c r="I24" s="10"/>
      <c r="J24" s="9"/>
      <c r="K24" s="10"/>
      <c r="L24" s="9"/>
      <c r="M24" s="10"/>
      <c r="N24" s="9"/>
      <c r="O24" s="10"/>
    </row>
    <row r="25" spans="1:15" x14ac:dyDescent="0.25">
      <c r="A25" s="7" t="s">
        <v>25</v>
      </c>
      <c r="B25" s="9"/>
      <c r="C25" s="10"/>
      <c r="D25" s="9"/>
      <c r="E25" s="10"/>
      <c r="F25" s="9"/>
      <c r="G25" s="10"/>
      <c r="H25" s="9"/>
      <c r="I25" s="10"/>
      <c r="J25" s="9"/>
      <c r="K25" s="10"/>
      <c r="L25" s="9"/>
      <c r="M25" s="10"/>
      <c r="N25" s="9"/>
      <c r="O25" s="10"/>
    </row>
    <row r="26" spans="1:15" x14ac:dyDescent="0.25">
      <c r="A26" s="7" t="s">
        <v>26</v>
      </c>
      <c r="B26" s="9"/>
      <c r="C26" s="10"/>
      <c r="D26" s="9"/>
      <c r="E26" s="10"/>
      <c r="F26" s="9"/>
      <c r="G26" s="10"/>
      <c r="H26" s="9"/>
      <c r="I26" s="10"/>
      <c r="J26" s="9"/>
      <c r="K26" s="10"/>
      <c r="L26" s="9"/>
      <c r="M26" s="10"/>
      <c r="N26" s="9"/>
      <c r="O26" s="10"/>
    </row>
    <row r="27" spans="1:15" x14ac:dyDescent="0.25">
      <c r="A27" s="7" t="s">
        <v>27</v>
      </c>
      <c r="B27" s="9"/>
      <c r="C27" s="10"/>
      <c r="D27" s="9"/>
      <c r="E27" s="10"/>
      <c r="F27" s="9"/>
      <c r="G27" s="10"/>
      <c r="H27" s="9"/>
      <c r="I27" s="10"/>
      <c r="J27" s="9"/>
      <c r="K27" s="10"/>
      <c r="L27" s="9"/>
      <c r="M27" s="10"/>
      <c r="N27" s="9"/>
      <c r="O27" s="10"/>
    </row>
    <row r="28" spans="1:15" x14ac:dyDescent="0.25">
      <c r="A28" s="7" t="s">
        <v>28</v>
      </c>
      <c r="B28" s="9"/>
      <c r="C28" s="10"/>
      <c r="D28" s="9"/>
      <c r="E28" s="10"/>
      <c r="F28" s="9"/>
      <c r="G28" s="10"/>
      <c r="H28" s="9"/>
      <c r="I28" s="10"/>
      <c r="J28" s="9"/>
      <c r="K28" s="10"/>
      <c r="L28" s="9"/>
      <c r="M28" s="10"/>
      <c r="N28" s="9"/>
      <c r="O28" s="10"/>
    </row>
    <row r="29" spans="1:15" ht="15.75" thickBot="1" x14ac:dyDescent="0.3">
      <c r="A29" s="8" t="s">
        <v>29</v>
      </c>
      <c r="B29" s="1"/>
      <c r="C29" s="2"/>
      <c r="D29" s="1"/>
      <c r="E29" s="2"/>
      <c r="F29" s="1"/>
      <c r="G29" s="2"/>
      <c r="H29" s="1"/>
      <c r="I29" s="2"/>
      <c r="J29" s="1"/>
      <c r="K29" s="2"/>
      <c r="L29" s="1"/>
      <c r="M29" s="2"/>
      <c r="N29" s="1"/>
      <c r="O29" s="2"/>
    </row>
  </sheetData>
  <mergeCells count="7">
    <mergeCell ref="N2:O2"/>
    <mergeCell ref="B2:C2"/>
    <mergeCell ref="D2:E2"/>
    <mergeCell ref="F2:G2"/>
    <mergeCell ref="H2:I2"/>
    <mergeCell ref="J2:K2"/>
    <mergeCell ref="L2:M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1FAC2-6925-4DBA-AB85-CAECE895B1E5}">
  <sheetPr codeName="Sheet2"/>
  <dimension ref="A1:V101"/>
  <sheetViews>
    <sheetView tabSelected="1" workbookViewId="0">
      <pane ySplit="2" topLeftCell="A3" activePane="bottomLeft" state="frozen"/>
      <selection pane="bottomLeft" activeCell="J10" sqref="J10"/>
    </sheetView>
  </sheetViews>
  <sheetFormatPr defaultRowHeight="15" x14ac:dyDescent="0.25"/>
  <cols>
    <col min="1" max="1" width="11.5703125" customWidth="1"/>
    <col min="6" max="6" width="11.140625" customWidth="1"/>
  </cols>
  <sheetData>
    <row r="1" spans="1:22" ht="15.75" thickBot="1" x14ac:dyDescent="0.3">
      <c r="C1" s="27" t="s">
        <v>0</v>
      </c>
      <c r="D1" s="28"/>
      <c r="E1" s="27" t="s">
        <v>38</v>
      </c>
      <c r="F1" s="28"/>
    </row>
    <row r="2" spans="1:22" ht="15.75" thickBot="1" x14ac:dyDescent="0.3">
      <c r="A2" s="5" t="s">
        <v>37</v>
      </c>
      <c r="B2" s="23" t="s">
        <v>15</v>
      </c>
      <c r="C2" s="1" t="s">
        <v>1</v>
      </c>
      <c r="D2" s="2" t="s">
        <v>39</v>
      </c>
      <c r="E2" s="1" t="s">
        <v>1</v>
      </c>
      <c r="F2" s="2" t="s">
        <v>39</v>
      </c>
      <c r="G2" s="20">
        <v>9</v>
      </c>
      <c r="H2" s="20">
        <v>10</v>
      </c>
      <c r="I2" s="20">
        <v>11</v>
      </c>
      <c r="J2" s="20">
        <v>12</v>
      </c>
      <c r="K2" s="20">
        <v>1</v>
      </c>
      <c r="L2" s="20">
        <v>2</v>
      </c>
      <c r="M2" s="20">
        <v>3</v>
      </c>
      <c r="N2" s="20">
        <v>4</v>
      </c>
      <c r="O2" s="20">
        <v>5</v>
      </c>
      <c r="P2" s="20">
        <v>6</v>
      </c>
      <c r="Q2" s="20">
        <v>7</v>
      </c>
      <c r="R2" s="20">
        <v>8</v>
      </c>
      <c r="S2" s="20">
        <v>9</v>
      </c>
      <c r="T2" s="20">
        <v>10</v>
      </c>
      <c r="U2" s="20">
        <v>11</v>
      </c>
      <c r="V2" s="20" t="s">
        <v>40</v>
      </c>
    </row>
    <row r="3" spans="1:22" x14ac:dyDescent="0.25">
      <c r="A3" s="6" t="s">
        <v>30</v>
      </c>
      <c r="B3" s="17" t="s">
        <v>10</v>
      </c>
      <c r="C3" s="29">
        <f>IFERROR(VLOOKUP(B3,Avaliability!A4:O29,2,FALSE),"")</f>
        <v>5</v>
      </c>
      <c r="D3" s="30">
        <f>IFERROR(VLOOKUP(B3,Avaliability!A4:O29,3,FALSE),"")</f>
        <v>8</v>
      </c>
      <c r="E3" s="31">
        <v>5</v>
      </c>
      <c r="F3" s="32">
        <v>8</v>
      </c>
      <c r="G3" s="19"/>
      <c r="H3" s="15"/>
      <c r="I3" s="15"/>
      <c r="J3" s="15"/>
      <c r="K3" s="15"/>
      <c r="L3" s="15"/>
      <c r="M3" s="15"/>
      <c r="N3" s="15"/>
      <c r="O3" s="25"/>
      <c r="P3" s="25"/>
      <c r="Q3" s="25"/>
      <c r="R3" s="15"/>
      <c r="S3" s="15"/>
      <c r="T3" s="15"/>
      <c r="U3" s="15"/>
      <c r="V3" s="16"/>
    </row>
    <row r="4" spans="1:22" x14ac:dyDescent="0.25">
      <c r="A4" s="7"/>
      <c r="B4" s="13" t="s">
        <v>3</v>
      </c>
      <c r="C4" s="29">
        <f>IFERROR(VLOOKUP(B4,Avaliability!A4:O29,2,FALSE),"")</f>
        <v>9</v>
      </c>
      <c r="D4" s="34">
        <f>IFERROR(VLOOKUP(B4,Avaliability!A4:O29,3,FALSE),"")</f>
        <v>5</v>
      </c>
      <c r="E4" s="35"/>
      <c r="F4" s="29"/>
      <c r="G4" s="35"/>
      <c r="H4" s="29"/>
      <c r="I4" s="29"/>
      <c r="J4" s="29"/>
      <c r="K4" s="29"/>
      <c r="L4" s="29"/>
      <c r="M4" s="29"/>
      <c r="N4" s="29"/>
      <c r="O4" s="11"/>
      <c r="P4" s="11"/>
      <c r="Q4" s="11"/>
      <c r="R4" s="11"/>
      <c r="S4" s="11"/>
      <c r="T4" s="11"/>
      <c r="U4" s="11"/>
      <c r="V4" s="12"/>
    </row>
    <row r="5" spans="1:22" x14ac:dyDescent="0.25">
      <c r="A5" s="7"/>
      <c r="B5" s="24" t="s">
        <v>4</v>
      </c>
      <c r="C5" s="29">
        <f>IFERROR(VLOOKUP(B5,Avaliability!A4:O29,2,FALSE),"")</f>
        <v>9</v>
      </c>
      <c r="D5" s="34">
        <f>IFERROR(VLOOKUP(B5,Avaliability!A4:O29,3,FALSE),"")</f>
        <v>5</v>
      </c>
      <c r="E5" s="35"/>
      <c r="F5" s="29"/>
      <c r="G5" s="35"/>
      <c r="H5" s="29"/>
      <c r="I5" s="29"/>
      <c r="J5" s="29"/>
      <c r="K5" s="29"/>
      <c r="L5" s="29"/>
      <c r="M5" s="29"/>
      <c r="N5" s="29"/>
      <c r="O5" s="11"/>
      <c r="P5" s="11"/>
      <c r="Q5" s="11"/>
      <c r="R5" s="11"/>
      <c r="S5" s="11"/>
      <c r="T5" s="11"/>
      <c r="U5" s="11"/>
      <c r="V5" s="12"/>
    </row>
    <row r="6" spans="1:22" x14ac:dyDescent="0.25">
      <c r="A6" s="7"/>
      <c r="B6" s="33"/>
      <c r="C6" s="29" t="str">
        <f>IFERROR(VLOOKUP(B6,Avaliability!A4:O29,2,FALSE),"")</f>
        <v/>
      </c>
      <c r="D6" s="34" t="str">
        <f>IFERROR(VLOOKUP(B6,Avaliability!A4:O29,3,FALSE),"")</f>
        <v/>
      </c>
      <c r="E6" s="35"/>
      <c r="F6" s="29"/>
      <c r="G6" s="35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34"/>
    </row>
    <row r="7" spans="1:22" x14ac:dyDescent="0.25">
      <c r="A7" s="7"/>
      <c r="B7" s="33"/>
      <c r="C7" s="29" t="str">
        <f>IFERROR(VLOOKUP(B7,Avaliability!A4:O29,2,FALSE),"")</f>
        <v/>
      </c>
      <c r="D7" s="34" t="str">
        <f>IFERROR(VLOOKUP(B7,Avaliability!A4:O29,3,FALSE),"")</f>
        <v/>
      </c>
      <c r="E7" s="35"/>
      <c r="F7" s="29"/>
      <c r="G7" s="35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34"/>
    </row>
    <row r="8" spans="1:22" x14ac:dyDescent="0.25">
      <c r="A8" s="7"/>
      <c r="B8" s="33"/>
      <c r="C8" s="29" t="str">
        <f>IFERROR(VLOOKUP(B8,Avaliability!A4:O29,2,FALSE),"")</f>
        <v/>
      </c>
      <c r="D8" s="34" t="str">
        <f>IFERROR(VLOOKUP(B8,Avaliability!A4:O29,3,FALSE),"")</f>
        <v/>
      </c>
      <c r="E8" s="35"/>
      <c r="F8" s="29"/>
      <c r="G8" s="35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34"/>
    </row>
    <row r="9" spans="1:22" x14ac:dyDescent="0.25">
      <c r="A9" s="7"/>
      <c r="B9" s="33"/>
      <c r="C9" s="29" t="str">
        <f>IFERROR(VLOOKUP(B9,Avaliability!A4:O29,2,FALSE),"")</f>
        <v/>
      </c>
      <c r="D9" s="34" t="str">
        <f>IFERROR(VLOOKUP(B9,Avaliability!A4:O29,3,FALSE),"")</f>
        <v/>
      </c>
      <c r="E9" s="35"/>
      <c r="F9" s="29"/>
      <c r="G9" s="35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34"/>
    </row>
    <row r="10" spans="1:22" x14ac:dyDescent="0.25">
      <c r="A10" s="7"/>
      <c r="B10" s="33"/>
      <c r="C10" s="29" t="str">
        <f>IFERROR(VLOOKUP(B10,Avaliability!A4:O29,2,FALSE),"")</f>
        <v/>
      </c>
      <c r="D10" s="34" t="str">
        <f>IFERROR(VLOOKUP(B10,Avaliability!A4:O29,3,FALSE),"")</f>
        <v/>
      </c>
      <c r="E10" s="35"/>
      <c r="F10" s="29"/>
      <c r="G10" s="35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34"/>
    </row>
    <row r="11" spans="1:22" x14ac:dyDescent="0.25">
      <c r="A11" s="7"/>
      <c r="B11" s="33"/>
      <c r="C11" s="29" t="str">
        <f>IFERROR(VLOOKUP(B11,Avaliability!A4:O29,2,FALSE),"")</f>
        <v/>
      </c>
      <c r="D11" s="34" t="str">
        <f>IFERROR(VLOOKUP(B11,Avaliability!A4:O29,3,FALSE),"")</f>
        <v/>
      </c>
      <c r="E11" s="35"/>
      <c r="F11" s="29"/>
      <c r="G11" s="35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34"/>
    </row>
    <row r="12" spans="1:22" x14ac:dyDescent="0.25">
      <c r="A12" s="7"/>
      <c r="B12" s="33"/>
      <c r="C12" s="29" t="str">
        <f>IFERROR(VLOOKUP(B12,Avaliability!A4:O29,2,FALSE),"")</f>
        <v/>
      </c>
      <c r="D12" s="34" t="str">
        <f>IFERROR(VLOOKUP(B12,Avaliability!A4:O29,3,FALSE),"")</f>
        <v/>
      </c>
      <c r="E12" s="35"/>
      <c r="F12" s="29"/>
      <c r="G12" s="35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34"/>
    </row>
    <row r="13" spans="1:22" x14ac:dyDescent="0.25">
      <c r="A13" s="7"/>
      <c r="B13" s="33"/>
      <c r="C13" s="29" t="str">
        <f>IFERROR(VLOOKUP(B13,Avaliability!A4:O29,2,FALSE),"")</f>
        <v/>
      </c>
      <c r="D13" s="34" t="str">
        <f>IFERROR(VLOOKUP(B13,Avaliability!A4:O29,3,FALSE),"")</f>
        <v/>
      </c>
      <c r="E13" s="35"/>
      <c r="F13" s="29"/>
      <c r="G13" s="35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34"/>
    </row>
    <row r="14" spans="1:22" ht="15.75" thickBot="1" x14ac:dyDescent="0.3">
      <c r="A14" s="8"/>
      <c r="B14" s="36"/>
      <c r="C14" s="37" t="str">
        <f>IFERROR(VLOOKUP(B14,Avaliability!A4:O29,2,FALSE),"")</f>
        <v/>
      </c>
      <c r="D14" s="34" t="str">
        <f>IFERROR(VLOOKUP(B14,Avaliability!A4:O29,3,FALSE),"")</f>
        <v/>
      </c>
      <c r="E14" s="37"/>
      <c r="F14" s="38"/>
      <c r="G14" s="37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9"/>
    </row>
    <row r="15" spans="1:22" x14ac:dyDescent="0.25">
      <c r="A15" s="6" t="s">
        <v>31</v>
      </c>
      <c r="B15" s="17" t="s">
        <v>10</v>
      </c>
      <c r="C15" s="29">
        <f>IFERROR(VLOOKUP(B15,Avaliability!A4:O29,4,FALSE),"")</f>
        <v>1</v>
      </c>
      <c r="D15" s="30">
        <f>IFERROR(VLOOKUP(B15,Avaliability!A4:O29,5,FALSE),"")</f>
        <v>9</v>
      </c>
      <c r="E15" s="31">
        <v>1</v>
      </c>
      <c r="F15" s="32">
        <v>10</v>
      </c>
      <c r="G15" s="19"/>
      <c r="H15" s="15"/>
      <c r="I15" s="15"/>
      <c r="J15" s="15"/>
      <c r="K15" s="25"/>
      <c r="L15" s="25"/>
      <c r="M15" s="25"/>
      <c r="N15" s="25"/>
      <c r="O15" s="25"/>
      <c r="P15" s="25"/>
      <c r="Q15" s="25"/>
      <c r="R15" s="25"/>
      <c r="S15" s="15"/>
      <c r="T15" s="15"/>
      <c r="U15" s="15"/>
      <c r="V15" s="16"/>
    </row>
    <row r="16" spans="1:22" x14ac:dyDescent="0.25">
      <c r="A16" s="7"/>
      <c r="B16" s="33"/>
      <c r="C16" s="29" t="str">
        <f>IFERROR(VLOOKUP(B16,Avaliability!A4:O29,4,FALSE),"")</f>
        <v/>
      </c>
      <c r="D16" s="34" t="str">
        <f>IFERROR(VLOOKUP(B16,Avaliability!A4:O29,5,FALSE),"")</f>
        <v/>
      </c>
      <c r="E16" s="35"/>
      <c r="F16" s="29"/>
      <c r="G16" s="35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34"/>
    </row>
    <row r="17" spans="1:22" x14ac:dyDescent="0.25">
      <c r="A17" s="7"/>
      <c r="B17" s="33"/>
      <c r="C17" s="29" t="str">
        <f>IFERROR(VLOOKUP(B17,Avaliability!A4:O29,4,FALSE),"")</f>
        <v/>
      </c>
      <c r="D17" s="34" t="str">
        <f>IFERROR(VLOOKUP(B17,Avaliability!A4:O29,5,FALSE),"")</f>
        <v/>
      </c>
      <c r="E17" s="35"/>
      <c r="F17" s="29"/>
      <c r="G17" s="35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34"/>
    </row>
    <row r="18" spans="1:22" x14ac:dyDescent="0.25">
      <c r="A18" s="7"/>
      <c r="B18" s="13" t="s">
        <v>3</v>
      </c>
      <c r="C18" s="29">
        <f>IFERROR(VLOOKUP(B18,Avaliability!A4:O29,4,FALSE),"")</f>
        <v>0</v>
      </c>
      <c r="D18" s="34">
        <f>IFERROR(VLOOKUP(B18,Avaliability!A4:O29,5,FALSE),"")</f>
        <v>0</v>
      </c>
      <c r="E18" s="35">
        <v>1</v>
      </c>
      <c r="F18" s="29" t="s">
        <v>40</v>
      </c>
      <c r="G18" s="35"/>
      <c r="H18" s="29"/>
      <c r="I18" s="29"/>
      <c r="J18" s="29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</row>
    <row r="19" spans="1:22" x14ac:dyDescent="0.25">
      <c r="A19" s="7"/>
      <c r="B19" s="33"/>
      <c r="C19" s="29" t="str">
        <f>IFERROR(VLOOKUP(B19,Avaliability!A4:O29,4,FALSE),"")</f>
        <v/>
      </c>
      <c r="D19" s="34" t="str">
        <f>IFERROR(VLOOKUP(B19,Avaliability!A4:O29,5,FALSE),"")</f>
        <v/>
      </c>
      <c r="E19" s="35"/>
      <c r="F19" s="29"/>
      <c r="G19" s="35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34"/>
    </row>
    <row r="20" spans="1:22" x14ac:dyDescent="0.25">
      <c r="A20" s="7"/>
      <c r="B20" s="33"/>
      <c r="C20" s="29" t="str">
        <f>IFERROR(VLOOKUP(B20,Avaliability!A4:O29,4,FALSE),"")</f>
        <v/>
      </c>
      <c r="D20" s="34" t="str">
        <f>IFERROR(VLOOKUP(B20,Avaliability!A4:O29,5,FALSE),"")</f>
        <v/>
      </c>
      <c r="E20" s="35"/>
      <c r="F20" s="29"/>
      <c r="G20" s="35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34"/>
    </row>
    <row r="21" spans="1:22" x14ac:dyDescent="0.25">
      <c r="A21" s="7"/>
      <c r="B21" s="33"/>
      <c r="C21" s="29" t="str">
        <f>IFERROR(VLOOKUP(B21,Avaliability!A4:O29,4,FALSE),"")</f>
        <v/>
      </c>
      <c r="D21" s="34" t="str">
        <f>IFERROR(VLOOKUP(B21,Avaliability!A4:O29,5,FALSE),"")</f>
        <v/>
      </c>
      <c r="E21" s="35"/>
      <c r="F21" s="29"/>
      <c r="G21" s="35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34"/>
    </row>
    <row r="22" spans="1:22" x14ac:dyDescent="0.25">
      <c r="A22" s="7"/>
      <c r="B22" s="33"/>
      <c r="C22" s="29" t="str">
        <f>IFERROR(VLOOKUP(B22,Avaliability!A4:O29,4,FALSE),"")</f>
        <v/>
      </c>
      <c r="D22" s="34" t="str">
        <f>IFERROR(VLOOKUP(B22,Avaliability!A4:O29,5,FALSE),"")</f>
        <v/>
      </c>
      <c r="E22" s="35"/>
      <c r="F22" s="29"/>
      <c r="G22" s="35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34"/>
    </row>
    <row r="23" spans="1:22" x14ac:dyDescent="0.25">
      <c r="A23" s="7"/>
      <c r="B23" s="33"/>
      <c r="C23" s="29" t="str">
        <f>IFERROR(VLOOKUP(B23,Avaliability!A4:O29,4,FALSE),"")</f>
        <v/>
      </c>
      <c r="D23" s="34" t="str">
        <f>IFERROR(VLOOKUP(B23,Avaliability!A4:O29,5,FALSE),"")</f>
        <v/>
      </c>
      <c r="E23" s="35"/>
      <c r="F23" s="29"/>
      <c r="G23" s="35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34"/>
    </row>
    <row r="24" spans="1:22" x14ac:dyDescent="0.25">
      <c r="A24" s="7"/>
      <c r="B24" s="33"/>
      <c r="C24" s="29" t="str">
        <f>IFERROR(VLOOKUP(B24,Avaliability!A4:O29,4,FALSE),"")</f>
        <v/>
      </c>
      <c r="D24" s="34" t="str">
        <f>IFERROR(VLOOKUP(B24,Avaliability!A4:O29,5,FALSE),"")</f>
        <v/>
      </c>
      <c r="E24" s="35"/>
      <c r="F24" s="29"/>
      <c r="G24" s="35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34"/>
    </row>
    <row r="25" spans="1:22" x14ac:dyDescent="0.25">
      <c r="A25" s="7"/>
      <c r="B25" s="33"/>
      <c r="C25" s="29" t="str">
        <f>IFERROR(VLOOKUP(B25,Avaliability!A4:O29,4,FALSE),"")</f>
        <v/>
      </c>
      <c r="D25" s="34" t="str">
        <f>IFERROR(VLOOKUP(B25,Avaliability!A4:O29,5,FALSE),"")</f>
        <v/>
      </c>
      <c r="E25" s="35"/>
      <c r="F25" s="29"/>
      <c r="G25" s="35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34"/>
    </row>
    <row r="26" spans="1:22" ht="15.75" thickBot="1" x14ac:dyDescent="0.3">
      <c r="A26" s="8"/>
      <c r="B26" s="36"/>
      <c r="C26" s="37" t="str">
        <f>IFERROR(VLOOKUP(B26,Avaliability!A4:O29,4,FALSE),"")</f>
        <v/>
      </c>
      <c r="D26" s="39" t="str">
        <f>IFERROR(VLOOKUP(B26,Avaliability!A4:O29,5,FALSE),"")</f>
        <v/>
      </c>
      <c r="E26" s="37"/>
      <c r="F26" s="38"/>
      <c r="G26" s="37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9"/>
    </row>
    <row r="27" spans="1:22" x14ac:dyDescent="0.25">
      <c r="A27" s="6" t="s">
        <v>32</v>
      </c>
      <c r="B27" s="17" t="s">
        <v>10</v>
      </c>
      <c r="C27" s="29">
        <f>IFERROR(VLOOKUP(B27,Avaliability!A4:O29,6,FALSE),"")</f>
        <v>10</v>
      </c>
      <c r="D27" s="34">
        <f>IFERROR(VLOOKUP(B27,Avaliability!A4:O29,7,FALSE),"")</f>
        <v>3</v>
      </c>
      <c r="E27" s="31">
        <v>10</v>
      </c>
      <c r="F27" s="32">
        <v>3</v>
      </c>
      <c r="G27" s="19"/>
      <c r="H27" s="25"/>
      <c r="I27" s="25"/>
      <c r="J27" s="25"/>
      <c r="K27" s="25"/>
      <c r="L27" s="25"/>
      <c r="M27" s="15"/>
      <c r="N27" s="15"/>
      <c r="O27" s="15"/>
      <c r="P27" s="15"/>
      <c r="Q27" s="15"/>
      <c r="R27" s="15"/>
      <c r="S27" s="15"/>
      <c r="T27" s="15"/>
      <c r="U27" s="15"/>
      <c r="V27" s="16"/>
    </row>
    <row r="28" spans="1:22" x14ac:dyDescent="0.25">
      <c r="A28" s="7"/>
      <c r="B28" s="33"/>
      <c r="C28" s="29" t="str">
        <f>IFERROR(VLOOKUP(B28,Avaliability!A4:O29,6,FALSE),"")</f>
        <v/>
      </c>
      <c r="D28" s="34" t="str">
        <f>IFERROR(VLOOKUP(B28,Avaliability!A4:O29,7,FALSE),"")</f>
        <v/>
      </c>
      <c r="E28" s="35"/>
      <c r="F28" s="29"/>
      <c r="G28" s="35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34"/>
    </row>
    <row r="29" spans="1:22" x14ac:dyDescent="0.25">
      <c r="A29" s="7"/>
      <c r="B29" s="33"/>
      <c r="C29" s="29" t="str">
        <f>IFERROR(VLOOKUP(B29,Avaliability!A4:O29,6,FALSE),"")</f>
        <v/>
      </c>
      <c r="D29" s="34" t="str">
        <f>IFERROR(VLOOKUP(B29,Avaliability!A4:O29,7,FALSE),"")</f>
        <v/>
      </c>
      <c r="E29" s="35"/>
      <c r="F29" s="29"/>
      <c r="G29" s="35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34"/>
    </row>
    <row r="30" spans="1:22" x14ac:dyDescent="0.25">
      <c r="A30" s="7"/>
      <c r="B30" s="33"/>
      <c r="C30" s="29" t="str">
        <f>IFERROR(VLOOKUP(B30,Avaliability!A4:O29,6,FALSE),"")</f>
        <v/>
      </c>
      <c r="D30" s="34" t="str">
        <f>IFERROR(VLOOKUP(B30,Avaliability!A4:O29,7,FALSE),"")</f>
        <v/>
      </c>
      <c r="E30" s="35"/>
      <c r="F30" s="29"/>
      <c r="G30" s="35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34"/>
    </row>
    <row r="31" spans="1:22" x14ac:dyDescent="0.25">
      <c r="A31" s="7"/>
      <c r="B31" s="13" t="s">
        <v>3</v>
      </c>
      <c r="C31" s="29">
        <f>IFERROR(VLOOKUP(B31,Avaliability!A4:O29,6,FALSE),"")</f>
        <v>0</v>
      </c>
      <c r="D31" s="34">
        <f>IFERROR(VLOOKUP(B31,Avaliability!A4:O29,7,FALSE),"")</f>
        <v>0</v>
      </c>
      <c r="E31" s="35">
        <v>1</v>
      </c>
      <c r="F31" s="29">
        <v>9</v>
      </c>
      <c r="G31" s="35"/>
      <c r="H31" s="29"/>
      <c r="I31" s="29"/>
      <c r="J31" s="29"/>
      <c r="K31" s="14"/>
      <c r="L31" s="14"/>
      <c r="M31" s="14"/>
      <c r="N31" s="14"/>
      <c r="O31" s="14"/>
      <c r="P31" s="14"/>
      <c r="Q31" s="14"/>
      <c r="R31" s="14"/>
      <c r="S31" s="29"/>
      <c r="T31" s="29"/>
      <c r="U31" s="29"/>
      <c r="V31" s="34"/>
    </row>
    <row r="32" spans="1:22" x14ac:dyDescent="0.25">
      <c r="A32" s="7"/>
      <c r="B32" s="33"/>
      <c r="C32" s="29" t="str">
        <f>IFERROR(VLOOKUP(B32,Avaliability!A4:O29,6,FALSE),"")</f>
        <v/>
      </c>
      <c r="D32" s="34" t="str">
        <f>IFERROR(VLOOKUP(B32,Avaliability!A4:O29,7,FALSE),"")</f>
        <v/>
      </c>
      <c r="E32" s="35"/>
      <c r="F32" s="29"/>
      <c r="G32" s="35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34"/>
    </row>
    <row r="33" spans="1:22" x14ac:dyDescent="0.25">
      <c r="A33" s="7"/>
      <c r="B33" s="33"/>
      <c r="C33" s="29" t="str">
        <f>IFERROR(VLOOKUP(B33,Avaliability!A4:O29,6,FALSE),"")</f>
        <v/>
      </c>
      <c r="D33" s="34" t="str">
        <f>IFERROR(VLOOKUP(B33,Avaliability!A4:O29,7,FALSE),"")</f>
        <v/>
      </c>
      <c r="E33" s="35"/>
      <c r="F33" s="29"/>
      <c r="G33" s="35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34"/>
    </row>
    <row r="34" spans="1:22" x14ac:dyDescent="0.25">
      <c r="A34" s="7"/>
      <c r="B34" s="33"/>
      <c r="C34" s="29" t="str">
        <f>IFERROR(VLOOKUP(B34,Avaliability!A4:O29,6,FALSE),"")</f>
        <v/>
      </c>
      <c r="D34" s="34" t="str">
        <f>IFERROR(VLOOKUP(B34,Avaliability!A4:O29,7,FALSE),"")</f>
        <v/>
      </c>
      <c r="E34" s="35"/>
      <c r="F34" s="29"/>
      <c r="G34" s="35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34"/>
    </row>
    <row r="35" spans="1:22" x14ac:dyDescent="0.25">
      <c r="A35" s="7"/>
      <c r="B35" s="33"/>
      <c r="C35" s="29" t="str">
        <f>IFERROR(VLOOKUP(B35,Avaliability!A4:O29,6,FALSE),"")</f>
        <v/>
      </c>
      <c r="D35" s="34" t="str">
        <f>IFERROR(VLOOKUP(B35,Avaliability!A4:O29,7,FALSE),"")</f>
        <v/>
      </c>
      <c r="E35" s="35"/>
      <c r="F35" s="29"/>
      <c r="G35" s="35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34"/>
    </row>
    <row r="36" spans="1:22" x14ac:dyDescent="0.25">
      <c r="A36" s="7"/>
      <c r="B36" s="33"/>
      <c r="C36" s="29" t="str">
        <f>IFERROR(VLOOKUP(B36,Avaliability!A4:O29,6,FALSE),"")</f>
        <v/>
      </c>
      <c r="D36" s="34" t="str">
        <f>IFERROR(VLOOKUP(B36,Avaliability!A4:O29,7,FALSE),"")</f>
        <v/>
      </c>
      <c r="E36" s="35"/>
      <c r="F36" s="29"/>
      <c r="G36" s="35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34"/>
    </row>
    <row r="37" spans="1:22" x14ac:dyDescent="0.25">
      <c r="A37" s="7"/>
      <c r="B37" s="33"/>
      <c r="C37" s="29" t="str">
        <f>IFERROR(VLOOKUP(B37,Avaliability!A4:O29,6,FALSE),"")</f>
        <v/>
      </c>
      <c r="D37" s="34" t="str">
        <f>IFERROR(VLOOKUP(B37,Avaliability!A4:O29,7,FALSE),"")</f>
        <v/>
      </c>
      <c r="E37" s="35"/>
      <c r="F37" s="29"/>
      <c r="G37" s="35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34"/>
    </row>
    <row r="38" spans="1:22" ht="15.75" thickBot="1" x14ac:dyDescent="0.3">
      <c r="A38" s="8"/>
      <c r="B38" s="36"/>
      <c r="C38" s="37" t="str">
        <f>IFERROR(VLOOKUP(B38,Avaliability!A4:O29,6,FALSE),"")</f>
        <v/>
      </c>
      <c r="D38" s="34" t="str">
        <f>IFERROR(VLOOKUP(B38,Avaliability!A4:O29,7,FALSE),"")</f>
        <v/>
      </c>
      <c r="E38" s="37"/>
      <c r="F38" s="38"/>
      <c r="G38" s="37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9"/>
    </row>
    <row r="39" spans="1:22" x14ac:dyDescent="0.25">
      <c r="A39" s="6" t="s">
        <v>33</v>
      </c>
      <c r="B39" s="17" t="s">
        <v>10</v>
      </c>
      <c r="C39" s="29">
        <f>IFERROR(VLOOKUP(B39,Avaliability!A4:O29,8,FALSE),"")</f>
        <v>4</v>
      </c>
      <c r="D39" s="30">
        <f>IFERROR(VLOOKUP(B39,Avaliability!A4:O29,9,FALSE),"")</f>
        <v>8</v>
      </c>
      <c r="E39" s="29">
        <v>4</v>
      </c>
      <c r="F39" s="29">
        <v>8</v>
      </c>
      <c r="G39" s="19"/>
      <c r="H39" s="15"/>
      <c r="I39" s="15"/>
      <c r="J39" s="15"/>
      <c r="K39" s="15"/>
      <c r="L39" s="15"/>
      <c r="M39" s="15"/>
      <c r="N39" s="25"/>
      <c r="O39" s="25"/>
      <c r="P39" s="25"/>
      <c r="Q39" s="25"/>
      <c r="R39" s="15"/>
      <c r="S39" s="15"/>
      <c r="T39" s="15"/>
      <c r="U39" s="15"/>
      <c r="V39" s="16"/>
    </row>
    <row r="40" spans="1:22" x14ac:dyDescent="0.25">
      <c r="A40" s="7"/>
      <c r="B40" s="33"/>
      <c r="C40" s="29" t="str">
        <f>IFERROR(VLOOKUP(B40,Avaliability!A4:O29,8,FALSE),"")</f>
        <v/>
      </c>
      <c r="D40" s="34" t="str">
        <f>IFERROR(VLOOKUP(B40,Avaliability!A4:O29,9,FALSE),"")</f>
        <v/>
      </c>
      <c r="E40" s="35"/>
      <c r="F40" s="29"/>
      <c r="G40" s="35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34"/>
    </row>
    <row r="41" spans="1:22" x14ac:dyDescent="0.25">
      <c r="A41" s="7"/>
      <c r="B41" s="33"/>
      <c r="C41" s="29" t="str">
        <f>IFERROR(VLOOKUP(B41,Avaliability!A4:O29,8,FALSE),"")</f>
        <v/>
      </c>
      <c r="D41" s="34" t="str">
        <f>IFERROR(VLOOKUP(B41,Avaliability!A4:O29,9,FALSE),"")</f>
        <v/>
      </c>
      <c r="E41" s="35"/>
      <c r="F41" s="29"/>
      <c r="G41" s="35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34"/>
    </row>
    <row r="42" spans="1:22" x14ac:dyDescent="0.25">
      <c r="A42" s="7"/>
      <c r="B42" s="33"/>
      <c r="C42" s="29" t="str">
        <f>IFERROR(VLOOKUP(B42,Avaliability!A4:O29,8,FALSE),"")</f>
        <v/>
      </c>
      <c r="D42" s="34" t="str">
        <f>IFERROR(VLOOKUP(B42,Avaliability!A4:O29,9,FALSE),"")</f>
        <v/>
      </c>
      <c r="E42" s="35"/>
      <c r="F42" s="29"/>
      <c r="G42" s="35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34"/>
    </row>
    <row r="43" spans="1:22" x14ac:dyDescent="0.25">
      <c r="A43" s="7"/>
      <c r="B43" s="33"/>
      <c r="C43" s="29" t="str">
        <f>IFERROR(VLOOKUP(B43,Avaliability!A4:O29,8,FALSE),"")</f>
        <v/>
      </c>
      <c r="D43" s="34" t="str">
        <f>IFERROR(VLOOKUP(B43,Avaliability!A4:O29,9,FALSE),"")</f>
        <v/>
      </c>
      <c r="E43" s="35"/>
      <c r="F43" s="29"/>
      <c r="G43" s="35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34"/>
    </row>
    <row r="44" spans="1:22" x14ac:dyDescent="0.25">
      <c r="A44" s="7"/>
      <c r="B44" s="33"/>
      <c r="C44" s="29" t="str">
        <f>IFERROR(VLOOKUP(B44,Avaliability!A4:O29,8,FALSE),"")</f>
        <v/>
      </c>
      <c r="D44" s="34" t="str">
        <f>IFERROR(VLOOKUP(B44,Avaliability!A4:O29,9,FALSE),"")</f>
        <v/>
      </c>
      <c r="E44" s="35"/>
      <c r="F44" s="29"/>
      <c r="G44" s="35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34"/>
    </row>
    <row r="45" spans="1:22" x14ac:dyDescent="0.25">
      <c r="A45" s="7"/>
      <c r="B45" s="33"/>
      <c r="C45" s="29" t="str">
        <f>IFERROR(VLOOKUP(B45,Avaliability!A4:O29,8,FALSE),"")</f>
        <v/>
      </c>
      <c r="D45" s="34" t="str">
        <f>IFERROR(VLOOKUP(B45,Avaliability!A4:O29,9,FALSE),"")</f>
        <v/>
      </c>
      <c r="E45" s="35"/>
      <c r="F45" s="29"/>
      <c r="G45" s="35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34"/>
    </row>
    <row r="46" spans="1:22" x14ac:dyDescent="0.25">
      <c r="A46" s="7"/>
      <c r="B46" s="33"/>
      <c r="C46" s="29" t="str">
        <f>IFERROR(VLOOKUP(B46,Avaliability!A4:O29,8,FALSE),"")</f>
        <v/>
      </c>
      <c r="D46" s="34" t="str">
        <f>IFERROR(VLOOKUP(B46,Avaliability!A4:O29,9,FALSE),"")</f>
        <v/>
      </c>
      <c r="E46" s="35"/>
      <c r="F46" s="29"/>
      <c r="G46" s="35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34"/>
    </row>
    <row r="47" spans="1:22" x14ac:dyDescent="0.25">
      <c r="A47" s="7"/>
      <c r="B47" s="33"/>
      <c r="C47" s="29" t="str">
        <f>IFERROR(VLOOKUP(B47,Avaliability!A4:O29,8,FALSE),"")</f>
        <v/>
      </c>
      <c r="D47" s="34" t="str">
        <f>IFERROR(VLOOKUP(B47,Avaliability!A4:O29,9,FALSE),"")</f>
        <v/>
      </c>
      <c r="E47" s="35"/>
      <c r="F47" s="29"/>
      <c r="G47" s="35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34"/>
    </row>
    <row r="48" spans="1:22" x14ac:dyDescent="0.25">
      <c r="A48" s="7"/>
      <c r="B48" s="33"/>
      <c r="C48" s="29" t="str">
        <f>IFERROR(VLOOKUP(B48,Avaliability!A4:O29,8,FALSE),"")</f>
        <v/>
      </c>
      <c r="D48" s="34" t="str">
        <f>IFERROR(VLOOKUP(B48,Avaliability!A4:O29,9,FALSE),"")</f>
        <v/>
      </c>
      <c r="E48" s="35"/>
      <c r="F48" s="29"/>
      <c r="G48" s="35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34"/>
    </row>
    <row r="49" spans="1:22" x14ac:dyDescent="0.25">
      <c r="A49" s="7"/>
      <c r="B49" s="33"/>
      <c r="C49" s="29" t="str">
        <f>IFERROR(VLOOKUP(B49,Avaliability!A4:O29,8,FALSE),"")</f>
        <v/>
      </c>
      <c r="D49" s="34" t="str">
        <f>IFERROR(VLOOKUP(B49,Avaliability!A4:O29,9,FALSE),"")</f>
        <v/>
      </c>
      <c r="E49" s="35"/>
      <c r="F49" s="29"/>
      <c r="G49" s="35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34"/>
    </row>
    <row r="50" spans="1:22" ht="15.75" thickBot="1" x14ac:dyDescent="0.3">
      <c r="A50" s="8"/>
      <c r="B50" s="36"/>
      <c r="C50" s="37" t="str">
        <f>IFERROR(VLOOKUP(B50,Avaliability!A4:O29,8,FALSE),"")</f>
        <v/>
      </c>
      <c r="D50" s="39" t="str">
        <f>IFERROR(VLOOKUP(B50,Avaliability!A4:O29,9,FALSE),"")</f>
        <v/>
      </c>
      <c r="E50" s="37"/>
      <c r="F50" s="38"/>
      <c r="G50" s="37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9"/>
    </row>
    <row r="51" spans="1:22" x14ac:dyDescent="0.25">
      <c r="A51" s="6" t="s">
        <v>34</v>
      </c>
      <c r="B51" s="17" t="s">
        <v>10</v>
      </c>
      <c r="C51" s="29">
        <f>IFERROR(VLOOKUP(B51,Avaliability!A4:O29,10,FALSE),"")</f>
        <v>12</v>
      </c>
      <c r="D51" s="34">
        <f>IFERROR(VLOOKUP(B51,Avaliability!A4:O29,11,FALSE),"")</f>
        <v>9</v>
      </c>
      <c r="E51" s="31">
        <v>12</v>
      </c>
      <c r="F51" s="32">
        <v>9</v>
      </c>
      <c r="G51" s="19"/>
      <c r="H51" s="15"/>
      <c r="I51" s="15"/>
      <c r="J51" s="25"/>
      <c r="K51" s="25"/>
      <c r="L51" s="25"/>
      <c r="M51" s="25"/>
      <c r="N51" s="25"/>
      <c r="O51" s="25"/>
      <c r="P51" s="25"/>
      <c r="Q51" s="25"/>
      <c r="R51" s="25"/>
      <c r="S51" s="15"/>
      <c r="T51" s="15"/>
      <c r="U51" s="15"/>
      <c r="V51" s="16"/>
    </row>
    <row r="52" spans="1:22" x14ac:dyDescent="0.25">
      <c r="A52" s="7"/>
      <c r="B52" s="33"/>
      <c r="C52" s="29" t="str">
        <f>IFERROR(VLOOKUP(B52,Avaliability!A4:O29,10,FALSE),"")</f>
        <v/>
      </c>
      <c r="D52" s="34" t="str">
        <f>IFERROR(VLOOKUP(B52,Avaliability!A4:O29,11,FALSE),"")</f>
        <v/>
      </c>
      <c r="E52" s="35"/>
      <c r="F52" s="29"/>
      <c r="G52" s="35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34"/>
    </row>
    <row r="53" spans="1:22" x14ac:dyDescent="0.25">
      <c r="A53" s="7"/>
      <c r="B53" s="33"/>
      <c r="C53" s="29" t="str">
        <f>IFERROR(VLOOKUP(B53,Avaliability!A4:O29,10,FALSE),"")</f>
        <v/>
      </c>
      <c r="D53" s="34" t="str">
        <f>IFERROR(VLOOKUP(B53,Avaliability!A4:O29,11,FALSE),"")</f>
        <v/>
      </c>
      <c r="E53" s="35"/>
      <c r="F53" s="29"/>
      <c r="G53" s="35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34"/>
    </row>
    <row r="54" spans="1:22" x14ac:dyDescent="0.25">
      <c r="A54" s="7"/>
      <c r="B54" s="33"/>
      <c r="C54" s="29" t="str">
        <f>IFERROR(VLOOKUP(B54,Avaliability!A4:O29,10,FALSE),"")</f>
        <v/>
      </c>
      <c r="D54" s="34" t="str">
        <f>IFERROR(VLOOKUP(B54,Avaliability!A4:O29,11,FALSE),"")</f>
        <v/>
      </c>
      <c r="E54" s="35"/>
      <c r="F54" s="29"/>
      <c r="G54" s="35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34"/>
    </row>
    <row r="55" spans="1:22" x14ac:dyDescent="0.25">
      <c r="A55" s="7"/>
      <c r="B55" s="33"/>
      <c r="C55" s="29" t="str">
        <f>IFERROR(VLOOKUP(B55,Avaliability!A4:O29,10,FALSE),"")</f>
        <v/>
      </c>
      <c r="D55" s="34" t="str">
        <f>IFERROR(VLOOKUP(B55,Avaliability!A4:O29,11,FALSE),"")</f>
        <v/>
      </c>
      <c r="E55" s="35"/>
      <c r="F55" s="29"/>
      <c r="G55" s="35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34"/>
    </row>
    <row r="56" spans="1:22" x14ac:dyDescent="0.25">
      <c r="A56" s="7"/>
      <c r="B56" s="33"/>
      <c r="C56" s="29" t="str">
        <f>IFERROR(VLOOKUP(B56,Avaliability!A4:O29,10,FALSE),"")</f>
        <v/>
      </c>
      <c r="D56" s="34" t="str">
        <f>IFERROR(VLOOKUP(B56,Avaliability!A4:O29,11,FALSE),"")</f>
        <v/>
      </c>
      <c r="E56" s="35"/>
      <c r="F56" s="29"/>
      <c r="G56" s="35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34"/>
    </row>
    <row r="57" spans="1:22" x14ac:dyDescent="0.25">
      <c r="A57" s="7"/>
      <c r="B57" s="33"/>
      <c r="C57" s="29" t="str">
        <f>IFERROR(VLOOKUP(B57,Avaliability!A4:O29,10,FALSE),"")</f>
        <v/>
      </c>
      <c r="D57" s="34" t="str">
        <f>IFERROR(VLOOKUP(B57,Avaliability!A4:O29,11,FALSE),"")</f>
        <v/>
      </c>
      <c r="E57" s="35"/>
      <c r="F57" s="29"/>
      <c r="G57" s="35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34"/>
    </row>
    <row r="58" spans="1:22" x14ac:dyDescent="0.25">
      <c r="A58" s="7"/>
      <c r="B58" s="33"/>
      <c r="C58" s="29" t="str">
        <f>IFERROR(VLOOKUP(B58,Avaliability!A4:O29,10,FALSE),"")</f>
        <v/>
      </c>
      <c r="D58" s="34" t="str">
        <f>IFERROR(VLOOKUP(B58,Avaliability!A4:O29,11,FALSE),"")</f>
        <v/>
      </c>
      <c r="E58" s="35"/>
      <c r="F58" s="29"/>
      <c r="G58" s="35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34"/>
    </row>
    <row r="59" spans="1:22" x14ac:dyDescent="0.25">
      <c r="A59" s="7"/>
      <c r="B59" s="33"/>
      <c r="C59" s="29" t="str">
        <f>IFERROR(VLOOKUP(B59,Avaliability!A4:O29,10,FALSE),"")</f>
        <v/>
      </c>
      <c r="D59" s="34" t="str">
        <f>IFERROR(VLOOKUP(B59,Avaliability!A4:O29,11,FALSE),"")</f>
        <v/>
      </c>
      <c r="E59" s="35"/>
      <c r="F59" s="29"/>
      <c r="G59" s="35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34"/>
    </row>
    <row r="60" spans="1:22" x14ac:dyDescent="0.25">
      <c r="A60" s="7"/>
      <c r="B60" s="33"/>
      <c r="C60" s="29" t="str">
        <f>IFERROR(VLOOKUP(B60,Avaliability!A4:O29,10,FALSE),"")</f>
        <v/>
      </c>
      <c r="D60" s="34" t="str">
        <f>IFERROR(VLOOKUP(B60,Avaliability!A4:O29,11,FALSE),"")</f>
        <v/>
      </c>
      <c r="E60" s="35"/>
      <c r="F60" s="29"/>
      <c r="G60" s="35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34"/>
    </row>
    <row r="61" spans="1:22" x14ac:dyDescent="0.25">
      <c r="A61" s="7"/>
      <c r="B61" s="33"/>
      <c r="C61" s="29" t="str">
        <f>IFERROR(VLOOKUP(B61,Avaliability!A4:O29,10,FALSE),"")</f>
        <v/>
      </c>
      <c r="D61" s="34" t="str">
        <f>IFERROR(VLOOKUP(B61,Avaliability!A4:O29,11,FALSE),"")</f>
        <v/>
      </c>
      <c r="E61" s="35"/>
      <c r="F61" s="29"/>
      <c r="G61" s="35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34"/>
    </row>
    <row r="62" spans="1:22" ht="15.75" thickBot="1" x14ac:dyDescent="0.3">
      <c r="A62" s="8"/>
      <c r="B62" s="36"/>
      <c r="C62" s="37" t="str">
        <f>IFERROR(VLOOKUP(B62,Avaliability!A4:O29,10,FALSE),"")</f>
        <v/>
      </c>
      <c r="D62" s="34" t="str">
        <f>IFERROR(VLOOKUP(B62,Avaliability!A4:O29,11,FALSE),"")</f>
        <v/>
      </c>
      <c r="E62" s="37"/>
      <c r="F62" s="38"/>
      <c r="G62" s="37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9"/>
    </row>
    <row r="63" spans="1:22" x14ac:dyDescent="0.25">
      <c r="A63" s="3" t="s">
        <v>35</v>
      </c>
      <c r="B63" s="17" t="s">
        <v>10</v>
      </c>
      <c r="C63" s="29">
        <f>IFERROR(VLOOKUP(B63,Avaliability!A4:O29,12,FALSE),"")</f>
        <v>4</v>
      </c>
      <c r="D63" s="30">
        <f>IFERROR(VLOOKUP(B63,Avaliability!A4:O29,13,FALSE),"")</f>
        <v>7</v>
      </c>
      <c r="E63" s="31">
        <v>4</v>
      </c>
      <c r="F63" s="32">
        <v>7</v>
      </c>
      <c r="G63" s="19"/>
      <c r="H63" s="15"/>
      <c r="I63" s="15"/>
      <c r="J63" s="15"/>
      <c r="K63" s="15"/>
      <c r="L63" s="15"/>
      <c r="M63" s="15"/>
      <c r="N63" s="25"/>
      <c r="O63" s="25"/>
      <c r="P63" s="25"/>
      <c r="Q63" s="15"/>
      <c r="R63" s="15"/>
      <c r="S63" s="15"/>
      <c r="T63" s="15"/>
      <c r="U63" s="15"/>
      <c r="V63" s="16"/>
    </row>
    <row r="64" spans="1:22" x14ac:dyDescent="0.25">
      <c r="A64" s="9"/>
      <c r="B64" s="33"/>
      <c r="C64" s="29" t="str">
        <f>IFERROR(VLOOKUP(B64,Avaliability!A4:O29,12,FALSE),"")</f>
        <v/>
      </c>
      <c r="D64" s="34" t="str">
        <f>IFERROR(VLOOKUP(B64,Avaliability!A4:O29,13,FALSE),"")</f>
        <v/>
      </c>
      <c r="E64" s="35"/>
      <c r="F64" s="29"/>
      <c r="G64" s="35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34"/>
    </row>
    <row r="65" spans="1:22" x14ac:dyDescent="0.25">
      <c r="A65" s="9"/>
      <c r="B65" s="33"/>
      <c r="C65" s="29" t="str">
        <f>IFERROR(VLOOKUP(B65,Avaliability!A4:O29,12,FALSE),"")</f>
        <v/>
      </c>
      <c r="D65" s="34" t="str">
        <f>IFERROR(VLOOKUP(B65,Avaliability!A4:O29,13,FALSE),"")</f>
        <v/>
      </c>
      <c r="E65" s="35"/>
      <c r="F65" s="29"/>
      <c r="G65" s="35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34"/>
    </row>
    <row r="66" spans="1:22" x14ac:dyDescent="0.25">
      <c r="A66" s="9"/>
      <c r="B66" s="33"/>
      <c r="C66" s="29" t="str">
        <f>IFERROR(VLOOKUP(B66,Avaliability!A4:O29,12,FALSE),"")</f>
        <v/>
      </c>
      <c r="D66" s="34" t="str">
        <f>IFERROR(VLOOKUP(B66,Avaliability!A4:O29,13,FALSE),"")</f>
        <v/>
      </c>
      <c r="E66" s="35"/>
      <c r="F66" s="29"/>
      <c r="G66" s="35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34"/>
    </row>
    <row r="67" spans="1:22" x14ac:dyDescent="0.25">
      <c r="A67" s="9"/>
      <c r="B67" s="33"/>
      <c r="C67" s="29" t="str">
        <f>IFERROR(VLOOKUP(B67,Avaliability!A4:O29,12,FALSE),"")</f>
        <v/>
      </c>
      <c r="D67" s="34" t="str">
        <f>IFERROR(VLOOKUP(B67,Avaliability!A4:O29,13,FALSE),"")</f>
        <v/>
      </c>
      <c r="E67" s="35"/>
      <c r="F67" s="29"/>
      <c r="G67" s="35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34"/>
    </row>
    <row r="68" spans="1:22" x14ac:dyDescent="0.25">
      <c r="A68" s="9"/>
      <c r="B68" s="33"/>
      <c r="C68" s="29" t="str">
        <f>IFERROR(VLOOKUP(B68,Avaliability!A4:O29,12,FALSE),"")</f>
        <v/>
      </c>
      <c r="D68" s="34" t="str">
        <f>IFERROR(VLOOKUP(B68,Avaliability!A4:O29,13,FALSE),"")</f>
        <v/>
      </c>
      <c r="E68" s="35"/>
      <c r="F68" s="29"/>
      <c r="G68" s="35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34"/>
    </row>
    <row r="69" spans="1:22" x14ac:dyDescent="0.25">
      <c r="A69" s="9"/>
      <c r="B69" s="33"/>
      <c r="C69" s="29" t="str">
        <f>IFERROR(VLOOKUP(B69,Avaliability!A4:O29,12,FALSE),"")</f>
        <v/>
      </c>
      <c r="D69" s="34" t="str">
        <f>IFERROR(VLOOKUP(B69,Avaliability!A4:O29,13,FALSE),"")</f>
        <v/>
      </c>
      <c r="E69" s="35"/>
      <c r="F69" s="29"/>
      <c r="G69" s="35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34"/>
    </row>
    <row r="70" spans="1:22" x14ac:dyDescent="0.25">
      <c r="A70" s="9"/>
      <c r="B70" s="33"/>
      <c r="C70" s="29" t="str">
        <f>IFERROR(VLOOKUP(B70,Avaliability!A4:O29,12,FALSE),"")</f>
        <v/>
      </c>
      <c r="D70" s="34" t="str">
        <f>IFERROR(VLOOKUP(B70,Avaliability!A4:O29,13,FALSE),"")</f>
        <v/>
      </c>
      <c r="E70" s="35"/>
      <c r="F70" s="29"/>
      <c r="G70" s="35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34"/>
    </row>
    <row r="71" spans="1:22" x14ac:dyDescent="0.25">
      <c r="A71" s="9"/>
      <c r="B71" s="33"/>
      <c r="C71" s="29" t="str">
        <f>IFERROR(VLOOKUP(B71,Avaliability!A4:O29,12,FALSE),"")</f>
        <v/>
      </c>
      <c r="D71" s="34" t="str">
        <f>IFERROR(VLOOKUP(B71,Avaliability!A4:O29,13,FALSE),"")</f>
        <v/>
      </c>
      <c r="E71" s="35"/>
      <c r="F71" s="29"/>
      <c r="G71" s="35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34"/>
    </row>
    <row r="72" spans="1:22" x14ac:dyDescent="0.25">
      <c r="A72" s="9"/>
      <c r="B72" s="33"/>
      <c r="C72" s="29" t="str">
        <f>IFERROR(VLOOKUP(B72,Avaliability!A4:O29,12,FALSE),"")</f>
        <v/>
      </c>
      <c r="D72" s="34" t="str">
        <f>IFERROR(VLOOKUP(B72,Avaliability!A4:O29,13,FALSE),"")</f>
        <v/>
      </c>
      <c r="E72" s="35"/>
      <c r="F72" s="29"/>
      <c r="G72" s="35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34"/>
    </row>
    <row r="73" spans="1:22" x14ac:dyDescent="0.25">
      <c r="A73" s="9"/>
      <c r="B73" s="33"/>
      <c r="C73" s="29" t="str">
        <f>IFERROR(VLOOKUP(B73,Avaliability!A4:O29,12,FALSE),"")</f>
        <v/>
      </c>
      <c r="D73" s="34" t="str">
        <f>IFERROR(VLOOKUP(B73,Avaliability!A4:O29,13,FALSE),"")</f>
        <v/>
      </c>
      <c r="E73" s="35"/>
      <c r="F73" s="29"/>
      <c r="G73" s="35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34"/>
    </row>
    <row r="74" spans="1:22" ht="15.75" thickBot="1" x14ac:dyDescent="0.3">
      <c r="A74" s="1"/>
      <c r="B74" s="36"/>
      <c r="C74" s="37" t="str">
        <f>IFERROR(VLOOKUP(B74,Avaliability!A4:O29,12,FALSE),"")</f>
        <v/>
      </c>
      <c r="D74" s="39" t="str">
        <f>IFERROR(VLOOKUP(B74,Avaliability!A4:O29,13,FALSE),"")</f>
        <v/>
      </c>
      <c r="E74" s="37"/>
      <c r="F74" s="38"/>
      <c r="G74" s="37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9"/>
    </row>
    <row r="75" spans="1:22" x14ac:dyDescent="0.25">
      <c r="A75" s="6" t="s">
        <v>36</v>
      </c>
      <c r="B75" s="17" t="s">
        <v>10</v>
      </c>
      <c r="C75" s="29">
        <f>IFERROR(VLOOKUP(B75,Avaliability!A4:O29,14,FALSE),"")</f>
        <v>9</v>
      </c>
      <c r="D75" s="34">
        <f>IFERROR(VLOOKUP(B75,Avaliability!A4:O29,15,FALSE),"")</f>
        <v>3</v>
      </c>
      <c r="E75" s="31">
        <v>9</v>
      </c>
      <c r="F75" s="32">
        <v>3</v>
      </c>
      <c r="G75" s="26"/>
      <c r="H75" s="25"/>
      <c r="I75" s="25"/>
      <c r="J75" s="25"/>
      <c r="K75" s="25"/>
      <c r="L75" s="25"/>
      <c r="M75" s="15"/>
      <c r="N75" s="15"/>
      <c r="O75" s="15"/>
      <c r="P75" s="15"/>
      <c r="Q75" s="15"/>
      <c r="R75" s="15"/>
      <c r="S75" s="15"/>
      <c r="T75" s="15"/>
      <c r="U75" s="15"/>
      <c r="V75" s="16"/>
    </row>
    <row r="76" spans="1:22" x14ac:dyDescent="0.25">
      <c r="A76" s="7"/>
      <c r="B76" s="33"/>
      <c r="C76" s="29" t="str">
        <f>IFERROR(VLOOKUP(B76,Avaliability!A4:O29,14,FALSE),"")</f>
        <v/>
      </c>
      <c r="D76" s="34" t="str">
        <f>IFERROR(VLOOKUP(B76,Avaliability!A4:O29,15,FALSE),"")</f>
        <v/>
      </c>
      <c r="E76" s="35"/>
      <c r="F76" s="29"/>
      <c r="G76" s="35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34"/>
    </row>
    <row r="77" spans="1:22" x14ac:dyDescent="0.25">
      <c r="A77" s="7"/>
      <c r="B77" s="33"/>
      <c r="C77" s="29" t="str">
        <f>IFERROR(VLOOKUP(B77,Avaliability!A4:O29,14,FALSE),"")</f>
        <v/>
      </c>
      <c r="D77" s="34" t="str">
        <f>IFERROR(VLOOKUP(B77,Avaliability!A4:O29,15,FALSE),"")</f>
        <v/>
      </c>
      <c r="E77" s="35"/>
      <c r="F77" s="29"/>
      <c r="G77" s="35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34"/>
    </row>
    <row r="78" spans="1:22" x14ac:dyDescent="0.25">
      <c r="A78" s="7"/>
      <c r="B78" s="33"/>
      <c r="C78" s="29" t="str">
        <f>IFERROR(VLOOKUP(B78,Avaliability!A4:O29,14,FALSE),"")</f>
        <v/>
      </c>
      <c r="D78" s="34" t="str">
        <f>IFERROR(VLOOKUP(B78,Avaliability!A4:O29,15,FALSE),"")</f>
        <v/>
      </c>
      <c r="E78" s="35"/>
      <c r="F78" s="29"/>
      <c r="G78" s="35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34"/>
    </row>
    <row r="79" spans="1:22" x14ac:dyDescent="0.25">
      <c r="A79" s="7"/>
      <c r="B79" s="33"/>
      <c r="C79" s="29" t="str">
        <f>IFERROR(VLOOKUP(B79,Avaliability!A4:O29,14,FALSE),"")</f>
        <v/>
      </c>
      <c r="D79" s="34" t="str">
        <f>IFERROR(VLOOKUP(B79,Avaliability!A4:O29,15,FALSE),"")</f>
        <v/>
      </c>
      <c r="E79" s="35"/>
      <c r="F79" s="29"/>
      <c r="G79" s="35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34"/>
    </row>
    <row r="80" spans="1:22" x14ac:dyDescent="0.25">
      <c r="A80" s="7"/>
      <c r="B80" s="33"/>
      <c r="C80" s="29" t="str">
        <f>IFERROR(VLOOKUP(B80,Avaliability!A4:O29,14,FALSE),"")</f>
        <v/>
      </c>
      <c r="D80" s="34" t="str">
        <f>IFERROR(VLOOKUP(B80,Avaliability!A4:O29,15,FALSE),"")</f>
        <v/>
      </c>
      <c r="E80" s="35"/>
      <c r="F80" s="29"/>
      <c r="G80" s="35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34"/>
    </row>
    <row r="81" spans="1:22" x14ac:dyDescent="0.25">
      <c r="A81" s="7"/>
      <c r="B81" s="33"/>
      <c r="C81" s="29" t="str">
        <f>IFERROR(VLOOKUP(B81,Avaliability!A4:O29,14,FALSE),"")</f>
        <v/>
      </c>
      <c r="D81" s="34" t="str">
        <f>IFERROR(VLOOKUP(B81,Avaliability!A4:O29,15,FALSE),"")</f>
        <v/>
      </c>
      <c r="E81" s="35"/>
      <c r="F81" s="29"/>
      <c r="G81" s="35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34"/>
    </row>
    <row r="82" spans="1:22" x14ac:dyDescent="0.25">
      <c r="A82" s="7"/>
      <c r="B82" s="33"/>
      <c r="C82" s="29" t="str">
        <f>IFERROR(VLOOKUP(B82,Avaliability!A4:O29,14,FALSE),"")</f>
        <v/>
      </c>
      <c r="D82" s="34" t="str">
        <f>IFERROR(VLOOKUP(B82,Avaliability!A4:O29,15,FALSE),"")</f>
        <v/>
      </c>
      <c r="E82" s="35"/>
      <c r="F82" s="29"/>
      <c r="G82" s="35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34"/>
    </row>
    <row r="83" spans="1:22" x14ac:dyDescent="0.25">
      <c r="A83" s="7"/>
      <c r="B83" s="33"/>
      <c r="C83" s="29" t="str">
        <f>IFERROR(VLOOKUP(B83,Avaliability!A4:O29,14,FALSE),"")</f>
        <v/>
      </c>
      <c r="D83" s="34" t="str">
        <f>IFERROR(VLOOKUP(B83,Avaliability!A4:O29,15,FALSE),"")</f>
        <v/>
      </c>
      <c r="E83" s="35"/>
      <c r="F83" s="29"/>
      <c r="G83" s="35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34"/>
    </row>
    <row r="84" spans="1:22" x14ac:dyDescent="0.25">
      <c r="A84" s="7"/>
      <c r="B84" s="33"/>
      <c r="C84" s="29" t="str">
        <f>IFERROR(VLOOKUP(B84,Avaliability!A4:O29,14,FALSE),"")</f>
        <v/>
      </c>
      <c r="D84" s="34" t="str">
        <f>IFERROR(VLOOKUP(B84,Avaliability!A4:O29,15,FALSE),"")</f>
        <v/>
      </c>
      <c r="E84" s="35"/>
      <c r="F84" s="29"/>
      <c r="G84" s="35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34"/>
    </row>
    <row r="85" spans="1:22" x14ac:dyDescent="0.25">
      <c r="A85" s="7"/>
      <c r="B85" s="33"/>
      <c r="C85" s="29" t="str">
        <f>IFERROR(VLOOKUP(B85,Avaliability!A4:O29,14,FALSE),"")</f>
        <v/>
      </c>
      <c r="D85" s="34" t="str">
        <f>IFERROR(VLOOKUP(B85,Avaliability!A4:O29,15,FALSE),"")</f>
        <v/>
      </c>
      <c r="E85" s="35"/>
      <c r="F85" s="29"/>
      <c r="G85" s="35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34"/>
    </row>
    <row r="86" spans="1:22" ht="15.75" thickBot="1" x14ac:dyDescent="0.3">
      <c r="A86" s="8"/>
      <c r="B86" s="36"/>
      <c r="C86" s="37" t="str">
        <f>IFERROR(VLOOKUP(B86,Avaliability!A4:O29,14,FALSE),"")</f>
        <v/>
      </c>
      <c r="D86" s="39" t="str">
        <f>IFERROR(VLOOKUP(B86,Avaliability!A4:O29,15,FALSE),"")</f>
        <v/>
      </c>
      <c r="E86" s="37"/>
      <c r="F86" s="38"/>
      <c r="G86" s="37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9"/>
    </row>
    <row r="90" spans="1:22" ht="15.75" thickBot="1" x14ac:dyDescent="0.3"/>
    <row r="91" spans="1:22" ht="15.75" thickBot="1" x14ac:dyDescent="0.3">
      <c r="F91" s="5" t="s">
        <v>10</v>
      </c>
      <c r="G91" s="21" t="s">
        <v>1</v>
      </c>
      <c r="H91" s="22" t="s">
        <v>39</v>
      </c>
    </row>
    <row r="92" spans="1:22" x14ac:dyDescent="0.25">
      <c r="F92" s="7" t="s">
        <v>30</v>
      </c>
      <c r="G92" s="6">
        <v>5</v>
      </c>
      <c r="H92" s="10">
        <v>8</v>
      </c>
    </row>
    <row r="93" spans="1:22" x14ac:dyDescent="0.25">
      <c r="B93" t="s">
        <v>3</v>
      </c>
      <c r="C93" t="s">
        <v>12</v>
      </c>
      <c r="D93" t="s">
        <v>22</v>
      </c>
      <c r="F93" s="7" t="s">
        <v>31</v>
      </c>
      <c r="G93" s="7">
        <v>1</v>
      </c>
      <c r="H93" s="10">
        <v>9</v>
      </c>
    </row>
    <row r="94" spans="1:22" x14ac:dyDescent="0.25">
      <c r="B94" t="s">
        <v>4</v>
      </c>
      <c r="C94" t="s">
        <v>13</v>
      </c>
      <c r="D94" t="s">
        <v>23</v>
      </c>
      <c r="F94" s="7" t="s">
        <v>32</v>
      </c>
      <c r="G94" s="7">
        <v>10</v>
      </c>
      <c r="H94" s="10">
        <v>3</v>
      </c>
    </row>
    <row r="95" spans="1:22" x14ac:dyDescent="0.25">
      <c r="B95" t="s">
        <v>5</v>
      </c>
      <c r="C95" t="s">
        <v>14</v>
      </c>
      <c r="D95" t="s">
        <v>24</v>
      </c>
      <c r="F95" s="7" t="s">
        <v>33</v>
      </c>
      <c r="G95" s="7">
        <v>4</v>
      </c>
      <c r="H95" s="10">
        <v>8</v>
      </c>
    </row>
    <row r="96" spans="1:22" x14ac:dyDescent="0.25">
      <c r="B96" t="s">
        <v>6</v>
      </c>
      <c r="C96" t="s">
        <v>16</v>
      </c>
      <c r="D96" t="s">
        <v>25</v>
      </c>
      <c r="F96" s="7" t="s">
        <v>34</v>
      </c>
      <c r="G96" s="7">
        <v>12</v>
      </c>
      <c r="H96" s="10">
        <v>9</v>
      </c>
    </row>
    <row r="97" spans="2:8" x14ac:dyDescent="0.25">
      <c r="B97" t="s">
        <v>7</v>
      </c>
      <c r="C97" t="s">
        <v>17</v>
      </c>
      <c r="D97" t="s">
        <v>26</v>
      </c>
      <c r="F97" s="7" t="s">
        <v>35</v>
      </c>
      <c r="G97" s="7">
        <v>4</v>
      </c>
      <c r="H97" s="10">
        <v>7</v>
      </c>
    </row>
    <row r="98" spans="2:8" ht="15.75" thickBot="1" x14ac:dyDescent="0.3">
      <c r="B98" t="s">
        <v>8</v>
      </c>
      <c r="C98" t="s">
        <v>18</v>
      </c>
      <c r="D98" t="s">
        <v>27</v>
      </c>
      <c r="F98" s="8" t="s">
        <v>36</v>
      </c>
      <c r="G98" s="8">
        <v>9</v>
      </c>
      <c r="H98" s="2">
        <v>3</v>
      </c>
    </row>
    <row r="99" spans="2:8" x14ac:dyDescent="0.25">
      <c r="B99" t="s">
        <v>9</v>
      </c>
      <c r="C99" t="s">
        <v>19</v>
      </c>
      <c r="D99" t="s">
        <v>28</v>
      </c>
    </row>
    <row r="100" spans="2:8" x14ac:dyDescent="0.25">
      <c r="B100" t="s">
        <v>10</v>
      </c>
      <c r="C100" t="s">
        <v>20</v>
      </c>
      <c r="D100" t="s">
        <v>29</v>
      </c>
    </row>
    <row r="101" spans="2:8" x14ac:dyDescent="0.25">
      <c r="B101" t="s">
        <v>11</v>
      </c>
      <c r="C101" t="s">
        <v>21</v>
      </c>
    </row>
  </sheetData>
  <mergeCells count="2">
    <mergeCell ref="C1:D1"/>
    <mergeCell ref="E1:F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Avaliability</vt:lpstr>
      <vt:lpstr>Rota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Alcock</dc:creator>
  <cp:lastModifiedBy>Benedict Alcock</cp:lastModifiedBy>
  <dcterms:created xsi:type="dcterms:W3CDTF">2023-06-09T17:35:48Z</dcterms:created>
  <dcterms:modified xsi:type="dcterms:W3CDTF">2023-06-15T11:15:34Z</dcterms:modified>
</cp:coreProperties>
</file>